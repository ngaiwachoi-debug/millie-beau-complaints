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境輸入" sheetId="1" state="visible" r:id="rId1"/>
    <sheet xmlns:r="http://schemas.openxmlformats.org/officeDocument/2006/relationships" name="情境支出" sheetId="2" state="visible" r:id="rId2"/>
    <sheet xmlns:r="http://schemas.openxmlformats.org/officeDocument/2006/relationships" name="方案比較" sheetId="3" state="visible" r:id="rId3"/>
    <sheet xmlns:r="http://schemas.openxmlformats.org/officeDocument/2006/relationships" name="判例來源" sheetId="4" state="visible" r:id="rId4"/>
  </sheets>
  <definedNames>
    <definedName name="_xlnm._FilterDatabase" localSheetId="0" hidden="1">'情境輸入'!$A$4:$M$16</definedName>
    <definedName name="_xlnm.Print_Area" localSheetId="0">'情境輸入'!$A$1:$M$41</definedName>
    <definedName name="_xlnm._FilterDatabase" localSheetId="1" hidden="1">'情境支出'!$A$4:$J$16</definedName>
    <definedName name="_xlnm.Print_Area" localSheetId="1">'情境支出'!$A$1:$J$20</definedName>
    <definedName name="_xlnm.Print_Area" localSheetId="2">'方案比較'!$A$1:$E$22</definedName>
    <definedName name="_xlnm._FilterDatabase" localSheetId="3" hidden="1">'判例來源'!$A$4:$F$13</definedName>
    <definedName name="_xlnm.Print_Area" localSheetId="3">'判例來源'!$A$1:$F$18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;(#,##0);&quot;–&quot;"/>
    <numFmt numFmtId="165" formatCode="0.0%"/>
  </numFmts>
  <fonts count="5">
    <font>
      <name val="Calibri"/>
      <family val="2"/>
      <color theme="1"/>
      <sz val="11"/>
      <scheme val="minor"/>
    </font>
    <font>
      <name val="Arial Unicode MS"/>
      <b val="1"/>
      <color rgb="00FFFFFF"/>
      <sz val="16"/>
    </font>
    <font>
      <name val="Arial Unicode MS"/>
      <color rgb="0019364A"/>
      <sz val="10"/>
    </font>
    <font>
      <name val="Arial Unicode MS"/>
      <b val="1"/>
      <color rgb="00FFFFFF"/>
      <sz val="10"/>
    </font>
    <font>
      <name val="Arial Unicode MS"/>
      <color rgb="001765B0"/>
      <sz val="10"/>
    </font>
  </fonts>
  <fills count="7">
    <fill>
      <patternFill/>
    </fill>
    <fill>
      <patternFill patternType="gray125"/>
    </fill>
    <fill>
      <patternFill patternType="solid">
        <fgColor rgb="0019364A"/>
      </patternFill>
    </fill>
    <fill>
      <patternFill patternType="solid">
        <fgColor rgb="00EAF3F4"/>
      </patternFill>
    </fill>
    <fill>
      <patternFill patternType="solid">
        <fgColor rgb="00167E80"/>
      </patternFill>
    </fill>
    <fill>
      <patternFill patternType="solid">
        <fgColor rgb="00FFF7DF"/>
      </patternFill>
    </fill>
    <fill>
      <patternFill patternType="solid">
        <fgColor rgb="00F4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164" fontId="4" fillId="5" borderId="0" applyAlignment="1" pivotButton="0" quotePrefix="0" xfId="0">
      <alignment horizontal="right" vertical="center" wrapText="1"/>
    </xf>
    <xf numFmtId="164" fontId="4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5" fontId="4" fillId="5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right" vertical="center" wrapText="1"/>
    </xf>
    <xf numFmtId="164" fontId="2" fillId="6" borderId="0" applyAlignment="1" pivotButton="0" quotePrefix="0" xfId="0">
      <alignment horizontal="right" vertical="center" wrapText="1"/>
    </xf>
    <xf numFmtId="165" fontId="2" fillId="6" borderId="0" applyAlignment="1" pivotButton="0" quotePrefix="0" xfId="0">
      <alignment horizontal="right" vertical="center" wrapText="1"/>
    </xf>
    <xf numFmtId="165" fontId="2" fillId="0" borderId="0" applyAlignment="1" pivotButton="0" quotePrefix="0" xfId="0">
      <alignment horizontal="right" vertical="center" wrapText="1"/>
    </xf>
    <xf numFmtId="4" fontId="2" fillId="6" borderId="0" applyAlignment="1" pivotButton="0" quotePrefix="0" xfId="0">
      <alignment horizontal="right" vertical="center" wrapText="1"/>
    </xf>
    <xf numFmtId="4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13" customWidth="1" min="9" max="9"/>
    <col width="15" customWidth="1" min="10" max="10"/>
    <col width="15" customWidth="1" min="11" max="11"/>
    <col width="45" customWidth="1" min="12" max="12"/>
    <col width="17" customWidth="1" min="13" max="13"/>
  </cols>
  <sheetData>
    <row r="1" ht="34" customHeight="1">
      <c r="A1" s="1" t="inlineStr">
        <is>
          <t>情境及成本輸入</t>
        </is>
      </c>
    </row>
    <row r="2" ht="38" customHeight="1">
      <c r="A2" s="2" t="inlineStr">
        <is>
          <t>Millie Beau Limited　2026-10-11　港幣；藍字為可修改假設，並非本案法院估值或報價。</t>
        </is>
      </c>
    </row>
    <row r="4" ht="32" customHeight="1">
      <c r="A4" s="3" t="inlineStr">
        <is>
          <t>情境</t>
        </is>
      </c>
      <c r="B4" s="3" t="inlineStr">
        <is>
          <t>程度</t>
        </is>
      </c>
      <c r="C4" s="3" t="inlineStr">
        <is>
          <t>程序分支</t>
        </is>
      </c>
      <c r="D4" s="3" t="inlineStr">
        <is>
          <t>PSLA假設</t>
        </is>
      </c>
      <c r="E4" s="3" t="inlineStr">
        <is>
          <t>其他損失假設</t>
        </is>
      </c>
      <c r="F4" s="3" t="inlineStr">
        <is>
          <t>自方法律</t>
        </is>
      </c>
      <c r="G4" s="3" t="inlineStr">
        <is>
          <t>專家成本</t>
        </is>
      </c>
      <c r="H4" s="3" t="inlineStr">
        <is>
          <t>管理小時</t>
        </is>
      </c>
      <c r="I4" s="3" t="inlineStr">
        <is>
          <t>每小時成本</t>
        </is>
      </c>
      <c r="J4" s="3" t="inlineStr">
        <is>
          <t>溝通成本</t>
        </is>
      </c>
      <c r="K4" s="3" t="inlineStr">
        <is>
          <t>對方成本</t>
        </is>
      </c>
      <c r="L4" s="3" t="inlineStr">
        <is>
          <t>來源／限制</t>
        </is>
      </c>
      <c r="M4" s="3" t="inlineStr">
        <is>
          <t>確認保險貢獻</t>
        </is>
      </c>
    </row>
    <row r="5" ht="52" customHeight="1">
      <c r="A5" s="4" t="inlineStr">
        <is>
          <t>A</t>
        </is>
      </c>
      <c r="B5" s="4" t="inlineStr">
        <is>
          <t>低</t>
        </is>
      </c>
      <c r="C5" s="4" t="inlineStr">
        <is>
          <t>小額</t>
        </is>
      </c>
      <c r="D5" s="5" t="n">
        <v>0</v>
      </c>
      <c r="E5" s="5" t="n">
        <v>0</v>
      </c>
      <c r="F5" s="5" t="n">
        <v>2000</v>
      </c>
      <c r="G5" s="5" t="n">
        <v>0</v>
      </c>
      <c r="H5" s="5" t="n">
        <v>6</v>
      </c>
      <c r="I5" s="5" t="n">
        <v>300</v>
      </c>
      <c r="J5" s="5" t="n">
        <v>0</v>
      </c>
      <c r="K5" s="5" t="n">
        <v>0</v>
      </c>
      <c r="L5" s="4" t="inlineStr">
        <is>
          <t>假設人傷及其他申索均無應付款，獨立套餐責任須另計。</t>
        </is>
      </c>
      <c r="M5" s="6" t="n"/>
    </row>
    <row r="6" ht="52" customHeight="1">
      <c r="A6" s="7" t="inlineStr">
        <is>
          <t>A</t>
        </is>
      </c>
      <c r="B6" s="7" t="inlineStr">
        <is>
          <t>中</t>
        </is>
      </c>
      <c r="C6" s="7" t="inlineStr">
        <is>
          <t>小額</t>
        </is>
      </c>
      <c r="D6" s="5" t="n">
        <v>0</v>
      </c>
      <c r="E6" s="5" t="n">
        <v>0</v>
      </c>
      <c r="F6" s="5" t="n">
        <v>5000</v>
      </c>
      <c r="G6" s="5" t="n">
        <v>5000</v>
      </c>
      <c r="H6" s="5" t="n">
        <v>12</v>
      </c>
      <c r="I6" s="5" t="n">
        <v>300</v>
      </c>
      <c r="J6" s="5" t="n">
        <v>1000</v>
      </c>
      <c r="K6" s="5" t="n">
        <v>0</v>
      </c>
      <c r="L6" s="7" t="inlineStr">
        <is>
          <t>假設人傷及其他申索均無應付款，獨立套餐責任須另計。</t>
        </is>
      </c>
      <c r="M6" s="6" t="n"/>
    </row>
    <row r="7" ht="52" customHeight="1">
      <c r="A7" s="4" t="inlineStr">
        <is>
          <t>A</t>
        </is>
      </c>
      <c r="B7" s="4" t="inlineStr">
        <is>
          <t>高</t>
        </is>
      </c>
      <c r="C7" s="4" t="inlineStr">
        <is>
          <t>小額</t>
        </is>
      </c>
      <c r="D7" s="5" t="n">
        <v>0</v>
      </c>
      <c r="E7" s="5" t="n">
        <v>0</v>
      </c>
      <c r="F7" s="5" t="n">
        <v>10000</v>
      </c>
      <c r="G7" s="5" t="n">
        <v>10000</v>
      </c>
      <c r="H7" s="5" t="n">
        <v>24</v>
      </c>
      <c r="I7" s="5" t="n">
        <v>300</v>
      </c>
      <c r="J7" s="5" t="n">
        <v>3000</v>
      </c>
      <c r="K7" s="5" t="n">
        <v>0</v>
      </c>
      <c r="L7" s="4" t="inlineStr">
        <is>
          <t>假設人傷及其他申索均無應付款，獨立套餐責任須另計。</t>
        </is>
      </c>
      <c r="M7" s="6" t="n"/>
    </row>
    <row r="8" ht="52" customHeight="1">
      <c r="A8" s="7" t="inlineStr">
        <is>
          <t>B</t>
        </is>
      </c>
      <c r="B8" s="7" t="inlineStr">
        <is>
          <t>低</t>
        </is>
      </c>
      <c r="C8" s="7" t="inlineStr">
        <is>
          <t>小額</t>
        </is>
      </c>
      <c r="D8" s="5" t="n">
        <v>9000</v>
      </c>
      <c r="E8" s="5" t="n">
        <v>1000</v>
      </c>
      <c r="F8" s="5" t="n">
        <v>2000</v>
      </c>
      <c r="G8" s="5" t="n">
        <v>0</v>
      </c>
      <c r="H8" s="5" t="n">
        <v>6</v>
      </c>
      <c r="I8" s="5" t="n">
        <v>300</v>
      </c>
      <c r="J8" s="5" t="n">
        <v>0</v>
      </c>
      <c r="K8" s="5" t="n">
        <v>500</v>
      </c>
      <c r="L8" s="7" t="inlineStr">
        <is>
          <t>純敏感度假設，沒有匹配判例；小額對方成本只指程序開支。</t>
        </is>
      </c>
      <c r="M8" s="6" t="n"/>
    </row>
    <row r="9" ht="52" customHeight="1">
      <c r="A9" s="4" t="inlineStr">
        <is>
          <t>B</t>
        </is>
      </c>
      <c r="B9" s="4" t="inlineStr">
        <is>
          <t>中</t>
        </is>
      </c>
      <c r="C9" s="4" t="inlineStr">
        <is>
          <t>小額</t>
        </is>
      </c>
      <c r="D9" s="5" t="n">
        <v>24000</v>
      </c>
      <c r="E9" s="5" t="n">
        <v>1000</v>
      </c>
      <c r="F9" s="5" t="n">
        <v>5000</v>
      </c>
      <c r="G9" s="5" t="n">
        <v>5000</v>
      </c>
      <c r="H9" s="5" t="n">
        <v>12</v>
      </c>
      <c r="I9" s="5" t="n">
        <v>300</v>
      </c>
      <c r="J9" s="5" t="n">
        <v>1000</v>
      </c>
      <c r="K9" s="5" t="n">
        <v>2000</v>
      </c>
      <c r="L9" s="4" t="inlineStr">
        <is>
          <t>純敏感度假設，沒有匹配判例；小額對方成本只指程序開支。</t>
        </is>
      </c>
      <c r="M9" s="6" t="n"/>
    </row>
    <row r="10" ht="52" customHeight="1">
      <c r="A10" s="7" t="inlineStr">
        <is>
          <t>B</t>
        </is>
      </c>
      <c r="B10" s="7" t="inlineStr">
        <is>
          <t>高</t>
        </is>
      </c>
      <c r="C10" s="7" t="inlineStr">
        <is>
          <t>小額</t>
        </is>
      </c>
      <c r="D10" s="5" t="n">
        <v>55000</v>
      </c>
      <c r="E10" s="5" t="n">
        <v>5000</v>
      </c>
      <c r="F10" s="5" t="n">
        <v>10000</v>
      </c>
      <c r="G10" s="5" t="n">
        <v>10000</v>
      </c>
      <c r="H10" s="5" t="n">
        <v>24</v>
      </c>
      <c r="I10" s="5" t="n">
        <v>300</v>
      </c>
      <c r="J10" s="5" t="n">
        <v>3000</v>
      </c>
      <c r="K10" s="5" t="n">
        <v>5000</v>
      </c>
      <c r="L10" s="7" t="inlineStr">
        <is>
          <t>純敏感度假設，沒有匹配判例；小額對方成本只指程序開支。</t>
        </is>
      </c>
      <c r="M10" s="6" t="n"/>
    </row>
    <row r="11" ht="52" customHeight="1">
      <c r="A11" s="4" t="inlineStr">
        <is>
          <t>C</t>
        </is>
      </c>
      <c r="B11" s="4" t="inlineStr">
        <is>
          <t>低</t>
        </is>
      </c>
      <c r="C11" s="4" t="inlineStr">
        <is>
          <t>區院</t>
        </is>
      </c>
      <c r="D11" s="5" t="n">
        <v>75000</v>
      </c>
      <c r="E11" s="5" t="n">
        <v>5000</v>
      </c>
      <c r="F11" s="5" t="n">
        <v>40000</v>
      </c>
      <c r="G11" s="5" t="n">
        <v>10000</v>
      </c>
      <c r="H11" s="5" t="n">
        <v>20</v>
      </c>
      <c r="I11" s="5" t="n">
        <v>300</v>
      </c>
      <c r="J11" s="5" t="n">
        <v>2000</v>
      </c>
      <c r="K11" s="5" t="n">
        <v>30000</v>
      </c>
      <c r="L11" s="4" t="inlineStr">
        <is>
          <t>PSLA採歷史判例參考，其他損失及成本是假設，未作2026調整。</t>
        </is>
      </c>
      <c r="M11" s="6" t="n"/>
    </row>
    <row r="12" ht="52" customHeight="1">
      <c r="A12" s="7" t="inlineStr">
        <is>
          <t>C</t>
        </is>
      </c>
      <c r="B12" s="7" t="inlineStr">
        <is>
          <t>中</t>
        </is>
      </c>
      <c r="C12" s="7" t="inlineStr">
        <is>
          <t>區院</t>
        </is>
      </c>
      <c r="D12" s="5" t="n">
        <v>120000</v>
      </c>
      <c r="E12" s="5" t="n">
        <v>20000</v>
      </c>
      <c r="F12" s="5" t="n">
        <v>100000</v>
      </c>
      <c r="G12" s="5" t="n">
        <v>25000</v>
      </c>
      <c r="H12" s="5" t="n">
        <v>50</v>
      </c>
      <c r="I12" s="5" t="n">
        <v>300</v>
      </c>
      <c r="J12" s="5" t="n">
        <v>5000</v>
      </c>
      <c r="K12" s="5" t="n">
        <v>80000</v>
      </c>
      <c r="L12" s="7" t="inlineStr">
        <is>
          <t>PSLA採歷史判例參考，其他損失及成本是假設，未作2026調整。</t>
        </is>
      </c>
      <c r="M12" s="6" t="n"/>
    </row>
    <row r="13" ht="52" customHeight="1">
      <c r="A13" s="4" t="inlineStr">
        <is>
          <t>C</t>
        </is>
      </c>
      <c r="B13" s="4" t="inlineStr">
        <is>
          <t>高</t>
        </is>
      </c>
      <c r="C13" s="4" t="inlineStr">
        <is>
          <t>區院</t>
        </is>
      </c>
      <c r="D13" s="5" t="n">
        <v>200000</v>
      </c>
      <c r="E13" s="5" t="n">
        <v>80000</v>
      </c>
      <c r="F13" s="5" t="n">
        <v>250000</v>
      </c>
      <c r="G13" s="5" t="n">
        <v>60000</v>
      </c>
      <c r="H13" s="5" t="n">
        <v>100</v>
      </c>
      <c r="I13" s="5" t="n">
        <v>300</v>
      </c>
      <c r="J13" s="5" t="n">
        <v>15000</v>
      </c>
      <c r="K13" s="5" t="n">
        <v>200000</v>
      </c>
      <c r="L13" s="4" t="inlineStr">
        <is>
          <t>PSLA採歷史判例參考，其他損失及成本是假設，未作2026調整。</t>
        </is>
      </c>
      <c r="M13" s="6" t="n"/>
    </row>
    <row r="14" ht="52" customHeight="1">
      <c r="A14" s="7" t="inlineStr">
        <is>
          <t>D</t>
        </is>
      </c>
      <c r="B14" s="7" t="inlineStr">
        <is>
          <t>低</t>
        </is>
      </c>
      <c r="C14" s="7" t="inlineStr">
        <is>
          <t>區院</t>
        </is>
      </c>
      <c r="D14" s="5" t="n">
        <v>200000</v>
      </c>
      <c r="E14" s="5" t="n">
        <v>100000</v>
      </c>
      <c r="F14" s="5" t="n">
        <v>40000</v>
      </c>
      <c r="G14" s="5" t="n">
        <v>10000</v>
      </c>
      <c r="H14" s="5" t="n">
        <v>20</v>
      </c>
      <c r="I14" s="5" t="n">
        <v>300</v>
      </c>
      <c r="J14" s="5" t="n">
        <v>2000</v>
      </c>
      <c r="K14" s="5" t="n">
        <v>30000</v>
      </c>
      <c r="L14" s="7" t="inlineStr">
        <is>
          <t>嚴重後果資金壓力測試，未證明本案有功能、收入或精神科損失。</t>
        </is>
      </c>
      <c r="M14" s="6" t="n"/>
    </row>
    <row r="15" ht="52" customHeight="1">
      <c r="A15" s="4" t="inlineStr">
        <is>
          <t>D</t>
        </is>
      </c>
      <c r="B15" s="4" t="inlineStr">
        <is>
          <t>中</t>
        </is>
      </c>
      <c r="C15" s="4" t="inlineStr">
        <is>
          <t>區院</t>
        </is>
      </c>
      <c r="D15" s="5" t="n">
        <v>300000</v>
      </c>
      <c r="E15" s="5" t="n">
        <v>200000</v>
      </c>
      <c r="F15" s="5" t="n">
        <v>100000</v>
      </c>
      <c r="G15" s="5" t="n">
        <v>25000</v>
      </c>
      <c r="H15" s="5" t="n">
        <v>50</v>
      </c>
      <c r="I15" s="5" t="n">
        <v>300</v>
      </c>
      <c r="J15" s="5" t="n">
        <v>5000</v>
      </c>
      <c r="K15" s="5" t="n">
        <v>80000</v>
      </c>
      <c r="L15" s="4" t="inlineStr">
        <is>
          <t>嚴重後果資金壓力測試，未證明本案有功能、收入或精神科損失。</t>
        </is>
      </c>
      <c r="M15" s="6" t="n"/>
    </row>
    <row r="16" ht="52" customHeight="1">
      <c r="A16" s="7" t="inlineStr">
        <is>
          <t>D</t>
        </is>
      </c>
      <c r="B16" s="7" t="inlineStr">
        <is>
          <t>高</t>
        </is>
      </c>
      <c r="C16" s="7" t="inlineStr">
        <is>
          <t>區院</t>
        </is>
      </c>
      <c r="D16" s="5" t="n">
        <v>300000</v>
      </c>
      <c r="E16" s="5" t="n">
        <v>550000</v>
      </c>
      <c r="F16" s="5" t="n">
        <v>250000</v>
      </c>
      <c r="G16" s="5" t="n">
        <v>60000</v>
      </c>
      <c r="H16" s="5" t="n">
        <v>100</v>
      </c>
      <c r="I16" s="5" t="n">
        <v>300</v>
      </c>
      <c r="J16" s="5" t="n">
        <v>15000</v>
      </c>
      <c r="K16" s="5" t="n">
        <v>200000</v>
      </c>
      <c r="L16" s="7" t="inlineStr">
        <is>
          <t>嚴重後果資金壓力測試，未證明本案有功能、收入或精神科損失。</t>
        </is>
      </c>
      <c r="M16" s="6" t="n"/>
    </row>
    <row r="19" ht="32" customHeight="1">
      <c r="A19" s="3" t="inlineStr">
        <is>
          <t>決策輸入</t>
        </is>
      </c>
      <c r="B19" s="3" t="inlineStr">
        <is>
          <t>數值</t>
        </is>
      </c>
      <c r="C19" s="3" t="inlineStr">
        <is>
          <t>單位</t>
        </is>
      </c>
      <c r="D19" s="3" t="inlineStr">
        <is>
          <t>說明</t>
        </is>
      </c>
    </row>
    <row r="20" ht="38" customHeight="1">
      <c r="A20" s="7" t="inlineStr">
        <is>
          <t>擬比較和解金</t>
        </is>
      </c>
      <c r="B20" s="5" t="n">
        <v>25000</v>
      </c>
      <c r="C20" s="7" t="inlineStr">
        <is>
          <t>HKD</t>
        </is>
      </c>
      <c r="D20" s="7" t="inlineStr">
        <is>
          <t>只是客戶提出金額，未接受或提出要約。</t>
        </is>
      </c>
    </row>
    <row r="21" ht="38" customHeight="1">
      <c r="A21" s="4" t="inlineStr">
        <is>
          <t>結案成本低</t>
        </is>
      </c>
      <c r="B21" s="5" t="n">
        <v>2000</v>
      </c>
      <c r="C21" s="4" t="inlineStr">
        <is>
          <t>HKD</t>
        </is>
      </c>
      <c r="D21" s="4" t="inlineStr">
        <is>
          <t>管理預算，替換成實際報價。</t>
        </is>
      </c>
    </row>
    <row r="22" ht="38" customHeight="1">
      <c r="A22" s="7" t="inlineStr">
        <is>
          <t>結案成本中</t>
        </is>
      </c>
      <c r="B22" s="5" t="n">
        <v>7000</v>
      </c>
      <c r="C22" s="7" t="inlineStr">
        <is>
          <t>HKD</t>
        </is>
      </c>
      <c r="D22" s="7" t="inlineStr">
        <is>
          <t>管理預算，替換成實際報價。</t>
        </is>
      </c>
    </row>
    <row r="23" ht="38" customHeight="1">
      <c r="A23" s="4" t="inlineStr">
        <is>
          <t>結案成本高</t>
        </is>
      </c>
      <c r="B23" s="5" t="n">
        <v>15000</v>
      </c>
      <c r="C23" s="4" t="inlineStr">
        <is>
          <t>HKD</t>
        </is>
      </c>
      <c r="D23" s="4" t="inlineStr">
        <is>
          <t>管理預算，替換成實際報價。</t>
        </is>
      </c>
    </row>
    <row r="24" ht="38" customHeight="1">
      <c r="A24" s="7" t="inlineStr">
        <is>
          <t>敗訴機率 p</t>
        </is>
      </c>
      <c r="B24" s="8" t="n"/>
      <c r="C24" s="7" t="inlineStr">
        <is>
          <t>0–1</t>
        </is>
      </c>
      <c r="D24" s="7" t="inlineStr">
        <is>
          <t>須由經核實證據及法律意見判斷；空白不等於0。</t>
        </is>
      </c>
    </row>
    <row r="25" ht="38" customHeight="1">
      <c r="A25" s="4" t="inlineStr">
        <is>
          <t>進入訴訟機率 q</t>
        </is>
      </c>
      <c r="B25" s="8" t="n"/>
      <c r="C25" s="4" t="inlineStr">
        <is>
          <t>0–1</t>
        </is>
      </c>
      <c r="D25" s="4" t="inlineStr">
        <is>
          <t>拒絕方案的訴訟概率，未知時不算期望成本。</t>
        </is>
      </c>
    </row>
    <row r="26" ht="38" customHeight="1">
      <c r="A26" s="7" t="inlineStr">
        <is>
          <t>勝訴可實收成本 R</t>
        </is>
      </c>
      <c r="B26" s="6" t="n"/>
      <c r="C26" s="7" t="inlineStr">
        <is>
          <t>HKD</t>
        </is>
      </c>
      <c r="D26" s="7" t="inlineStr">
        <is>
          <t>填預期實際回收額而非紙面訟費令；小額不得填區院律師費。</t>
        </is>
      </c>
    </row>
    <row r="27" ht="38" customHeight="1">
      <c r="A27" s="4" t="inlineStr">
        <is>
          <t>確認和解保險貢獻低</t>
        </is>
      </c>
      <c r="B27" s="6" t="n"/>
      <c r="C27" s="4" t="inlineStr">
        <is>
          <t>HKD</t>
        </is>
      </c>
      <c r="D27" s="4" t="inlineStr">
        <is>
          <t>只填已確認在相應和解分支支付的賠償及費用，不明保持空白。</t>
        </is>
      </c>
    </row>
    <row r="28" ht="38" customHeight="1">
      <c r="A28" s="7" t="inlineStr">
        <is>
          <t>確認和解保險貢獻中</t>
        </is>
      </c>
      <c r="B28" s="6" t="n"/>
      <c r="C28" s="7" t="inlineStr">
        <is>
          <t>HKD</t>
        </is>
      </c>
      <c r="D28" s="7" t="inlineStr">
        <is>
          <t>承保、免賠、限額及分項確認後填寫；各情境的保險額另填上方M欄。</t>
        </is>
      </c>
    </row>
    <row r="29" ht="38" customHeight="1">
      <c r="A29" s="4" t="inlineStr">
        <is>
          <t>確認和解保險貢獻高</t>
        </is>
      </c>
      <c r="B29" s="6" t="n"/>
      <c r="C29" s="4" t="inlineStr">
        <is>
          <t>HKD</t>
        </is>
      </c>
      <c r="D29" s="4" t="inlineStr">
        <is>
          <t>不得重複抵扣已由保險支付的費用。</t>
        </is>
      </c>
    </row>
    <row r="30" ht="38" customHeight="1">
      <c r="A30" s="7" t="inlineStr">
        <is>
          <t>核實醫療預付款 M</t>
        </is>
      </c>
      <c r="B30" s="6" t="n"/>
      <c r="C30" s="7" t="inlineStr">
        <is>
          <t>HKD</t>
        </is>
      </c>
      <c r="D30" s="7" t="inlineStr">
        <is>
          <t>從受限記錄填入必要金額；付款仍需批准，未必結案。</t>
        </is>
      </c>
    </row>
    <row r="31" ht="38" customHeight="1">
      <c r="A31" s="4" t="inlineStr">
        <is>
          <t>短期調查成本低</t>
        </is>
      </c>
      <c r="B31" s="5" t="n">
        <v>7000</v>
      </c>
      <c r="C31" s="4" t="inlineStr">
        <is>
          <t>HKD</t>
        </is>
      </c>
      <c r="D31" s="4" t="inlineStr">
        <is>
          <t>只計增量調查，不包含其後結案或訴訟。</t>
        </is>
      </c>
    </row>
    <row r="32" ht="38" customHeight="1">
      <c r="A32" s="7" t="inlineStr">
        <is>
          <t>短期調查成本中</t>
        </is>
      </c>
      <c r="B32" s="5" t="n">
        <v>15000</v>
      </c>
      <c r="C32" s="7" t="inlineStr">
        <is>
          <t>HKD</t>
        </is>
      </c>
      <c r="D32" s="7" t="inlineStr">
        <is>
          <t>管理預算。</t>
        </is>
      </c>
    </row>
    <row r="33" ht="38" customHeight="1">
      <c r="A33" s="4" t="inlineStr">
        <is>
          <t>短期調查成本高</t>
        </is>
      </c>
      <c r="B33" s="5" t="n">
        <v>30000</v>
      </c>
      <c r="C33" s="4" t="inlineStr">
        <is>
          <t>HKD</t>
        </is>
      </c>
      <c r="D33" s="4" t="inlineStr">
        <is>
          <t>管理預算。</t>
        </is>
      </c>
    </row>
    <row r="34" ht="38" customHeight="1">
      <c r="A34" s="7" t="inlineStr">
        <is>
          <t>醫療處理成本低</t>
        </is>
      </c>
      <c r="B34" s="5" t="n">
        <v>2000</v>
      </c>
      <c r="C34" s="7" t="inlineStr">
        <is>
          <t>HKD</t>
        </is>
      </c>
      <c r="D34" s="7" t="inlineStr">
        <is>
          <t>管理預算；尚有未解除申索。</t>
        </is>
      </c>
    </row>
    <row r="35" ht="38" customHeight="1">
      <c r="A35" s="4" t="inlineStr">
        <is>
          <t>醫療處理成本中</t>
        </is>
      </c>
      <c r="B35" s="5" t="n">
        <v>5000</v>
      </c>
      <c r="C35" s="4" t="inlineStr">
        <is>
          <t>HKD</t>
        </is>
      </c>
      <c r="D35" s="4" t="inlineStr">
        <is>
          <t>管理預算。</t>
        </is>
      </c>
    </row>
    <row r="36" ht="38" customHeight="1">
      <c r="A36" s="7" t="inlineStr">
        <is>
          <t>醫療處理成本高</t>
        </is>
      </c>
      <c r="B36" s="5" t="n">
        <v>10000</v>
      </c>
      <c r="C36" s="7" t="inlineStr">
        <is>
          <t>HKD</t>
        </is>
      </c>
      <c r="D36" s="7" t="inlineStr">
        <is>
          <t>管理預算。</t>
        </is>
      </c>
    </row>
    <row r="37" ht="38" customHeight="1">
      <c r="A37" s="4" t="inlineStr">
        <is>
          <t>拒絕即時調查 F0</t>
        </is>
      </c>
      <c r="B37" s="6" t="n"/>
      <c r="C37" s="4" t="inlineStr">
        <is>
          <t>HKD</t>
        </is>
      </c>
      <c r="D37" s="4" t="inlineStr">
        <is>
          <t>與訴訟增量抗辯費分開，不能重複計算。</t>
        </is>
      </c>
    </row>
    <row r="38" ht="38" customHeight="1">
      <c r="A38" s="7" t="inlineStr">
        <is>
          <t>增量訴訟成本 F</t>
        </is>
      </c>
      <c r="B38" s="6" t="n"/>
      <c r="C38" s="7" t="inlineStr">
        <is>
          <t>HKD</t>
        </is>
      </c>
      <c r="D38" s="7" t="inlineStr">
        <is>
          <t>按實際程序取得報價；未填不計期望額。</t>
        </is>
      </c>
    </row>
    <row r="39" ht="38" customHeight="1">
      <c r="A39" s="4" t="inlineStr">
        <is>
          <t>敗訴賠償 D</t>
        </is>
      </c>
      <c r="B39" s="6" t="n"/>
      <c r="C39" s="4" t="inlineStr">
        <is>
          <t>HKD</t>
        </is>
      </c>
      <c r="D39" s="4" t="inlineStr">
        <is>
          <t>需個別估值，不能直接用歷史案例。</t>
        </is>
      </c>
    </row>
    <row r="40" ht="38" customHeight="1">
      <c r="A40" s="7" t="inlineStr">
        <is>
          <t>敗訴對方成本 A</t>
        </is>
      </c>
      <c r="B40" s="6" t="n"/>
      <c r="C40" s="7" t="inlineStr">
        <is>
          <t>HKD</t>
        </is>
      </c>
      <c r="D40" s="7" t="inlineStr">
        <is>
          <t>按實際程序，不把小額案當區院。</t>
        </is>
      </c>
    </row>
    <row r="41" ht="38" customHeight="1">
      <c r="A41" s="4" t="inlineStr">
        <is>
          <t>其他業務成本</t>
        </is>
      </c>
      <c r="B41" s="6" t="n"/>
      <c r="C41" s="4" t="inlineStr">
        <is>
          <t>HKD</t>
        </is>
      </c>
      <c r="D41" s="4" t="inlineStr">
        <is>
          <t>只計可核實增量成本或損失毛利，避免與工時／溝通重複。</t>
        </is>
      </c>
    </row>
  </sheetData>
  <autoFilter ref="A4:M16"/>
  <mergeCells count="24">
    <mergeCell ref="D37:M37"/>
    <mergeCell ref="D30:M30"/>
    <mergeCell ref="D25:M25"/>
    <mergeCell ref="D39:M39"/>
    <mergeCell ref="D24:M24"/>
    <mergeCell ref="D38:M38"/>
    <mergeCell ref="D33:M33"/>
    <mergeCell ref="D29:M29"/>
    <mergeCell ref="D23:M23"/>
    <mergeCell ref="D35:M35"/>
    <mergeCell ref="D26:M26"/>
    <mergeCell ref="D20:M20"/>
    <mergeCell ref="D34:M34"/>
    <mergeCell ref="D31:M31"/>
    <mergeCell ref="A1:M1"/>
    <mergeCell ref="D22:M22"/>
    <mergeCell ref="D40:M40"/>
    <mergeCell ref="D36:M36"/>
    <mergeCell ref="D21:M21"/>
    <mergeCell ref="D27:M27"/>
    <mergeCell ref="D41:M41"/>
    <mergeCell ref="D32:M32"/>
    <mergeCell ref="A2:M2"/>
    <mergeCell ref="D28:M28"/>
  </mergeCells>
  <dataValidations count="2">
    <dataValidation sqref="B24:B25" showDropDown="0" showInputMessage="0" showErrorMessage="1" allowBlank="1" errorTitle="機率範圍" error="請填0至1或保持空白。" type="decimal" operator="between">
      <formula1>0</formula1>
      <formula2>1</formula2>
    </dataValidation>
    <dataValidation sqref="B20:B23 B26:B41 D5:K16 M5:M16" showDropDown="0" showInputMessage="0" showErrorMessage="1" allowBlank="1" error="金額及小時須為非負數，未知可留空。" type="decimal" operator="greaterThanOrEqual">
      <formula1>0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4" customHeight="1">
      <c r="A1" s="1" t="inlineStr">
        <is>
          <t>四種情境支出</t>
        </is>
      </c>
    </row>
    <row r="2" ht="38" customHeight="1">
      <c r="A2" s="2" t="inlineStr">
        <is>
          <t>保險前資金壓力測試，並非賠償預測；勝訴成本仍會發生。保險未確認時淨額顯示待確認。</t>
        </is>
      </c>
    </row>
    <row r="4" ht="32" customHeight="1">
      <c r="A4" s="3" t="inlineStr">
        <is>
          <t>情境</t>
        </is>
      </c>
      <c r="B4" s="3" t="inlineStr">
        <is>
          <t>程度</t>
        </is>
      </c>
      <c r="C4" s="3" t="inlineStr">
        <is>
          <t>程序分支</t>
        </is>
      </c>
      <c r="D4" s="3" t="inlineStr">
        <is>
          <t>假設賠償</t>
        </is>
      </c>
      <c r="E4" s="3" t="inlineStr">
        <is>
          <t>管理成本</t>
        </is>
      </c>
      <c r="F4" s="3" t="inlineStr">
        <is>
          <t>自方總成本</t>
        </is>
      </c>
      <c r="G4" s="3" t="inlineStr">
        <is>
          <t>對方成本</t>
        </is>
      </c>
      <c r="H4" s="3" t="inlineStr">
        <is>
          <t>敗訴總支出</t>
        </is>
      </c>
      <c r="I4" s="3" t="inlineStr">
        <is>
          <t>確認保險貢獻</t>
        </is>
      </c>
      <c r="J4" s="3" t="inlineStr">
        <is>
          <t>公司淨支出</t>
        </is>
      </c>
    </row>
    <row r="5" ht="34" customHeight="1">
      <c r="A5" s="4" t="inlineStr">
        <is>
          <t>A</t>
        </is>
      </c>
      <c r="B5" s="4" t="inlineStr">
        <is>
          <t>低</t>
        </is>
      </c>
      <c r="C5" s="9" t="str">
        <f>'情境輸入'!C5</f>
        <v>小額</v>
      </c>
      <c r="D5" s="9">
        <f>IF(COUNT('情境輸入'!D5:E5)=2,SUM('情境輸入'!D5:E5),"待填損失")</f>
        <v>0</v>
      </c>
      <c r="E5" s="9">
        <f>IF(COUNT('情境輸入'!H5:I5)=2,'情境輸入'!H5*'情境輸入'!I5,"待填工時")</f>
        <v>1800</v>
      </c>
      <c r="F5" s="9">
        <f>IF(COUNT('情境輸入'!F5:G5,'情境輸入'!J5,E5)=4,SUM('情境輸入'!F5:G5,'情境輸入'!J5,E5),"待填成本")</f>
        <v>3800</v>
      </c>
      <c r="G5" s="9">
        <f>IF(COUNT('情境輸入'!K5)=1,'情境輸入'!K5,"待填對方成本")</f>
        <v>0</v>
      </c>
      <c r="H5" s="9">
        <f>IF(COUNT(D5,F5,G5)=3,SUM(D5,F5,G5),"待填分項")</f>
        <v>3800</v>
      </c>
      <c r="I5" s="9" t="str">
        <f>IF(COUNT('情境輸入'!M5)=1,'情境輸入'!M5,"待確認")</f>
        <v>待確認</v>
      </c>
      <c r="J5" s="9" t="str">
        <f>IF(COUNT(H5,I5)=2,IF(I5&lt;=H5,H5-I5,"保險額超總支出"),"待確認保險")</f>
        <v>待確認保險</v>
      </c>
    </row>
    <row r="6" ht="34" customHeight="1">
      <c r="A6" s="7" t="inlineStr">
        <is>
          <t>A</t>
        </is>
      </c>
      <c r="B6" s="7" t="inlineStr">
        <is>
          <t>中</t>
        </is>
      </c>
      <c r="C6" s="10" t="str">
        <f>'情境輸入'!C6</f>
        <v>小額</v>
      </c>
      <c r="D6" s="10">
        <f>IF(COUNT('情境輸入'!D6:E6)=2,SUM('情境輸入'!D6:E6),"待填損失")</f>
        <v>0</v>
      </c>
      <c r="E6" s="10">
        <f>IF(COUNT('情境輸入'!H6:I6)=2,'情境輸入'!H6*'情境輸入'!I6,"待填工時")</f>
        <v>3600</v>
      </c>
      <c r="F6" s="10">
        <f>IF(COUNT('情境輸入'!F6:G6,'情境輸入'!J6,E6)=4,SUM('情境輸入'!F6:G6,'情境輸入'!J6,E6),"待填成本")</f>
        <v>14600</v>
      </c>
      <c r="G6" s="10">
        <f>IF(COUNT('情境輸入'!K6)=1,'情境輸入'!K6,"待填對方成本")</f>
        <v>0</v>
      </c>
      <c r="H6" s="10">
        <f>IF(COUNT(D6,F6,G6)=3,SUM(D6,F6,G6),"待填分項")</f>
        <v>14600</v>
      </c>
      <c r="I6" s="10" t="str">
        <f>IF(COUNT('情境輸入'!M6)=1,'情境輸入'!M6,"待確認")</f>
        <v>待確認</v>
      </c>
      <c r="J6" s="10" t="str">
        <f>IF(COUNT(H6,I6)=2,IF(I6&lt;=H6,H6-I6,"保險額超總支出"),"待確認保險")</f>
        <v>待確認保險</v>
      </c>
    </row>
    <row r="7" ht="34" customHeight="1">
      <c r="A7" s="4" t="inlineStr">
        <is>
          <t>A</t>
        </is>
      </c>
      <c r="B7" s="4" t="inlineStr">
        <is>
          <t>高</t>
        </is>
      </c>
      <c r="C7" s="9" t="str">
        <f>'情境輸入'!C7</f>
        <v>小額</v>
      </c>
      <c r="D7" s="9">
        <f>IF(COUNT('情境輸入'!D7:E7)=2,SUM('情境輸入'!D7:E7),"待填損失")</f>
        <v>0</v>
      </c>
      <c r="E7" s="9">
        <f>IF(COUNT('情境輸入'!H7:I7)=2,'情境輸入'!H7*'情境輸入'!I7,"待填工時")</f>
        <v>7200</v>
      </c>
      <c r="F7" s="9">
        <f>IF(COUNT('情境輸入'!F7:G7,'情境輸入'!J7,E7)=4,SUM('情境輸入'!F7:G7,'情境輸入'!J7,E7),"待填成本")</f>
        <v>30200</v>
      </c>
      <c r="G7" s="9">
        <f>IF(COUNT('情境輸入'!K7)=1,'情境輸入'!K7,"待填對方成本")</f>
        <v>0</v>
      </c>
      <c r="H7" s="9">
        <f>IF(COUNT(D7,F7,G7)=3,SUM(D7,F7,G7),"待填分項")</f>
        <v>30200</v>
      </c>
      <c r="I7" s="9" t="str">
        <f>IF(COUNT('情境輸入'!M7)=1,'情境輸入'!M7,"待確認")</f>
        <v>待確認</v>
      </c>
      <c r="J7" s="9" t="str">
        <f>IF(COUNT(H7,I7)=2,IF(I7&lt;=H7,H7-I7,"保險額超總支出"),"待確認保險")</f>
        <v>待確認保險</v>
      </c>
    </row>
    <row r="8" ht="34" customHeight="1">
      <c r="A8" s="7" t="inlineStr">
        <is>
          <t>B</t>
        </is>
      </c>
      <c r="B8" s="7" t="inlineStr">
        <is>
          <t>低</t>
        </is>
      </c>
      <c r="C8" s="10" t="str">
        <f>'情境輸入'!C8</f>
        <v>小額</v>
      </c>
      <c r="D8" s="10">
        <f>IF(COUNT('情境輸入'!D8:E8)=2,SUM('情境輸入'!D8:E8),"待填損失")</f>
        <v>10000</v>
      </c>
      <c r="E8" s="10">
        <f>IF(COUNT('情境輸入'!H8:I8)=2,'情境輸入'!H8*'情境輸入'!I8,"待填工時")</f>
        <v>1800</v>
      </c>
      <c r="F8" s="10">
        <f>IF(COUNT('情境輸入'!F8:G8,'情境輸入'!J8,E8)=4,SUM('情境輸入'!F8:G8,'情境輸入'!J8,E8),"待填成本")</f>
        <v>3800</v>
      </c>
      <c r="G8" s="10">
        <f>IF(COUNT('情境輸入'!K8)=1,'情境輸入'!K8,"待填對方成本")</f>
        <v>500</v>
      </c>
      <c r="H8" s="10">
        <f>IF(COUNT(D8,F8,G8)=3,SUM(D8,F8,G8),"待填分項")</f>
        <v>14300</v>
      </c>
      <c r="I8" s="10" t="str">
        <f>IF(COUNT('情境輸入'!M8)=1,'情境輸入'!M8,"待確認")</f>
        <v>待確認</v>
      </c>
      <c r="J8" s="10" t="str">
        <f>IF(COUNT(H8,I8)=2,IF(I8&lt;=H8,H8-I8,"保險額超總支出"),"待確認保險")</f>
        <v>待確認保險</v>
      </c>
    </row>
    <row r="9" ht="34" customHeight="1">
      <c r="A9" s="4" t="inlineStr">
        <is>
          <t>B</t>
        </is>
      </c>
      <c r="B9" s="4" t="inlineStr">
        <is>
          <t>中</t>
        </is>
      </c>
      <c r="C9" s="9" t="str">
        <f>'情境輸入'!C9</f>
        <v>小額</v>
      </c>
      <c r="D9" s="9">
        <f>IF(COUNT('情境輸入'!D9:E9)=2,SUM('情境輸入'!D9:E9),"待填損失")</f>
        <v>25000</v>
      </c>
      <c r="E9" s="9">
        <f>IF(COUNT('情境輸入'!H9:I9)=2,'情境輸入'!H9*'情境輸入'!I9,"待填工時")</f>
        <v>3600</v>
      </c>
      <c r="F9" s="9">
        <f>IF(COUNT('情境輸入'!F9:G9,'情境輸入'!J9,E9)=4,SUM('情境輸入'!F9:G9,'情境輸入'!J9,E9),"待填成本")</f>
        <v>14600</v>
      </c>
      <c r="G9" s="9">
        <f>IF(COUNT('情境輸入'!K9)=1,'情境輸入'!K9,"待填對方成本")</f>
        <v>2000</v>
      </c>
      <c r="H9" s="9">
        <f>IF(COUNT(D9,F9,G9)=3,SUM(D9,F9,G9),"待填分項")</f>
        <v>41600</v>
      </c>
      <c r="I9" s="9" t="str">
        <f>IF(COUNT('情境輸入'!M9)=1,'情境輸入'!M9,"待確認")</f>
        <v>待確認</v>
      </c>
      <c r="J9" s="9" t="str">
        <f>IF(COUNT(H9,I9)=2,IF(I9&lt;=H9,H9-I9,"保險額超總支出"),"待確認保險")</f>
        <v>待確認保險</v>
      </c>
    </row>
    <row r="10" ht="34" customHeight="1">
      <c r="A10" s="7" t="inlineStr">
        <is>
          <t>B</t>
        </is>
      </c>
      <c r="B10" s="7" t="inlineStr">
        <is>
          <t>高</t>
        </is>
      </c>
      <c r="C10" s="10" t="str">
        <f>'情境輸入'!C10</f>
        <v>小額</v>
      </c>
      <c r="D10" s="10">
        <f>IF(COUNT('情境輸入'!D10:E10)=2,SUM('情境輸入'!D10:E10),"待填損失")</f>
        <v>60000</v>
      </c>
      <c r="E10" s="10">
        <f>IF(COUNT('情境輸入'!H10:I10)=2,'情境輸入'!H10*'情境輸入'!I10,"待填工時")</f>
        <v>7200</v>
      </c>
      <c r="F10" s="10">
        <f>IF(COUNT('情境輸入'!F10:G10,'情境輸入'!J10,E10)=4,SUM('情境輸入'!F10:G10,'情境輸入'!J10,E10),"待填成本")</f>
        <v>30200</v>
      </c>
      <c r="G10" s="10">
        <f>IF(COUNT('情境輸入'!K10)=1,'情境輸入'!K10,"待填對方成本")</f>
        <v>5000</v>
      </c>
      <c r="H10" s="10">
        <f>IF(COUNT(D10,F10,G10)=3,SUM(D10,F10,G10),"待填分項")</f>
        <v>95200</v>
      </c>
      <c r="I10" s="10" t="str">
        <f>IF(COUNT('情境輸入'!M10)=1,'情境輸入'!M10,"待確認")</f>
        <v>待確認</v>
      </c>
      <c r="J10" s="10" t="str">
        <f>IF(COUNT(H10,I10)=2,IF(I10&lt;=H10,H10-I10,"保險額超總支出"),"待確認保險")</f>
        <v>待確認保險</v>
      </c>
    </row>
    <row r="11" ht="34" customHeight="1">
      <c r="A11" s="4" t="inlineStr">
        <is>
          <t>C</t>
        </is>
      </c>
      <c r="B11" s="4" t="inlineStr">
        <is>
          <t>低</t>
        </is>
      </c>
      <c r="C11" s="9" t="str">
        <f>'情境輸入'!C11</f>
        <v>區院</v>
      </c>
      <c r="D11" s="9">
        <f>IF(COUNT('情境輸入'!D11:E11)=2,SUM('情境輸入'!D11:E11),"待填損失")</f>
        <v>80000</v>
      </c>
      <c r="E11" s="9">
        <f>IF(COUNT('情境輸入'!H11:I11)=2,'情境輸入'!H11*'情境輸入'!I11,"待填工時")</f>
        <v>6000</v>
      </c>
      <c r="F11" s="9">
        <f>IF(COUNT('情境輸入'!F11:G11,'情境輸入'!J11,E11)=4,SUM('情境輸入'!F11:G11,'情境輸入'!J11,E11),"待填成本")</f>
        <v>58000</v>
      </c>
      <c r="G11" s="9">
        <f>IF(COUNT('情境輸入'!K11)=1,'情境輸入'!K11,"待填對方成本")</f>
        <v>30000</v>
      </c>
      <c r="H11" s="9">
        <f>IF(COUNT(D11,F11,G11)=3,SUM(D11,F11,G11),"待填分項")</f>
        <v>168000</v>
      </c>
      <c r="I11" s="9" t="str">
        <f>IF(COUNT('情境輸入'!M11)=1,'情境輸入'!M11,"待確認")</f>
        <v>待確認</v>
      </c>
      <c r="J11" s="9" t="str">
        <f>IF(COUNT(H11,I11)=2,IF(I11&lt;=H11,H11-I11,"保險額超總支出"),"待確認保險")</f>
        <v>待確認保險</v>
      </c>
    </row>
    <row r="12" ht="34" customHeight="1">
      <c r="A12" s="7" t="inlineStr">
        <is>
          <t>C</t>
        </is>
      </c>
      <c r="B12" s="7" t="inlineStr">
        <is>
          <t>中</t>
        </is>
      </c>
      <c r="C12" s="10" t="str">
        <f>'情境輸入'!C12</f>
        <v>區院</v>
      </c>
      <c r="D12" s="10">
        <f>IF(COUNT('情境輸入'!D12:E12)=2,SUM('情境輸入'!D12:E12),"待填損失")</f>
        <v>140000</v>
      </c>
      <c r="E12" s="10">
        <f>IF(COUNT('情境輸入'!H12:I12)=2,'情境輸入'!H12*'情境輸入'!I12,"待填工時")</f>
        <v>15000</v>
      </c>
      <c r="F12" s="10">
        <f>IF(COUNT('情境輸入'!F12:G12,'情境輸入'!J12,E12)=4,SUM('情境輸入'!F12:G12,'情境輸入'!J12,E12),"待填成本")</f>
        <v>145000</v>
      </c>
      <c r="G12" s="10">
        <f>IF(COUNT('情境輸入'!K12)=1,'情境輸入'!K12,"待填對方成本")</f>
        <v>80000</v>
      </c>
      <c r="H12" s="10">
        <f>IF(COUNT(D12,F12,G12)=3,SUM(D12,F12,G12),"待填分項")</f>
        <v>365000</v>
      </c>
      <c r="I12" s="10" t="str">
        <f>IF(COUNT('情境輸入'!M12)=1,'情境輸入'!M12,"待確認")</f>
        <v>待確認</v>
      </c>
      <c r="J12" s="10" t="str">
        <f>IF(COUNT(H12,I12)=2,IF(I12&lt;=H12,H12-I12,"保險額超總支出"),"待確認保險")</f>
        <v>待確認保險</v>
      </c>
    </row>
    <row r="13" ht="34" customHeight="1">
      <c r="A13" s="4" t="inlineStr">
        <is>
          <t>C</t>
        </is>
      </c>
      <c r="B13" s="4" t="inlineStr">
        <is>
          <t>高</t>
        </is>
      </c>
      <c r="C13" s="9" t="str">
        <f>'情境輸入'!C13</f>
        <v>區院</v>
      </c>
      <c r="D13" s="9">
        <f>IF(COUNT('情境輸入'!D13:E13)=2,SUM('情境輸入'!D13:E13),"待填損失")</f>
        <v>280000</v>
      </c>
      <c r="E13" s="9">
        <f>IF(COUNT('情境輸入'!H13:I13)=2,'情境輸入'!H13*'情境輸入'!I13,"待填工時")</f>
        <v>30000</v>
      </c>
      <c r="F13" s="9">
        <f>IF(COUNT('情境輸入'!F13:G13,'情境輸入'!J13,E13)=4,SUM('情境輸入'!F13:G13,'情境輸入'!J13,E13),"待填成本")</f>
        <v>355000</v>
      </c>
      <c r="G13" s="9">
        <f>IF(COUNT('情境輸入'!K13)=1,'情境輸入'!K13,"待填對方成本")</f>
        <v>200000</v>
      </c>
      <c r="H13" s="9">
        <f>IF(COUNT(D13,F13,G13)=3,SUM(D13,F13,G13),"待填分項")</f>
        <v>835000</v>
      </c>
      <c r="I13" s="9" t="str">
        <f>IF(COUNT('情境輸入'!M13)=1,'情境輸入'!M13,"待確認")</f>
        <v>待確認</v>
      </c>
      <c r="J13" s="9" t="str">
        <f>IF(COUNT(H13,I13)=2,IF(I13&lt;=H13,H13-I13,"保險額超總支出"),"待確認保險")</f>
        <v>待確認保險</v>
      </c>
    </row>
    <row r="14" ht="34" customHeight="1">
      <c r="A14" s="7" t="inlineStr">
        <is>
          <t>D</t>
        </is>
      </c>
      <c r="B14" s="7" t="inlineStr">
        <is>
          <t>低</t>
        </is>
      </c>
      <c r="C14" s="10" t="str">
        <f>'情境輸入'!C14</f>
        <v>區院</v>
      </c>
      <c r="D14" s="10">
        <f>IF(COUNT('情境輸入'!D14:E14)=2,SUM('情境輸入'!D14:E14),"待填損失")</f>
        <v>300000</v>
      </c>
      <c r="E14" s="10">
        <f>IF(COUNT('情境輸入'!H14:I14)=2,'情境輸入'!H14*'情境輸入'!I14,"待填工時")</f>
        <v>6000</v>
      </c>
      <c r="F14" s="10">
        <f>IF(COUNT('情境輸入'!F14:G14,'情境輸入'!J14,E14)=4,SUM('情境輸入'!F14:G14,'情境輸入'!J14,E14),"待填成本")</f>
        <v>58000</v>
      </c>
      <c r="G14" s="10">
        <f>IF(COUNT('情境輸入'!K14)=1,'情境輸入'!K14,"待填對方成本")</f>
        <v>30000</v>
      </c>
      <c r="H14" s="10">
        <f>IF(COUNT(D14,F14,G14)=3,SUM(D14,F14,G14),"待填分項")</f>
        <v>388000</v>
      </c>
      <c r="I14" s="10" t="str">
        <f>IF(COUNT('情境輸入'!M14)=1,'情境輸入'!M14,"待確認")</f>
        <v>待確認</v>
      </c>
      <c r="J14" s="10" t="str">
        <f>IF(COUNT(H14,I14)=2,IF(I14&lt;=H14,H14-I14,"保險額超總支出"),"待確認保險")</f>
        <v>待確認保險</v>
      </c>
    </row>
    <row r="15" ht="34" customHeight="1">
      <c r="A15" s="4" t="inlineStr">
        <is>
          <t>D</t>
        </is>
      </c>
      <c r="B15" s="4" t="inlineStr">
        <is>
          <t>中</t>
        </is>
      </c>
      <c r="C15" s="9" t="str">
        <f>'情境輸入'!C15</f>
        <v>區院</v>
      </c>
      <c r="D15" s="9">
        <f>IF(COUNT('情境輸入'!D15:E15)=2,SUM('情境輸入'!D15:E15),"待填損失")</f>
        <v>500000</v>
      </c>
      <c r="E15" s="9">
        <f>IF(COUNT('情境輸入'!H15:I15)=2,'情境輸入'!H15*'情境輸入'!I15,"待填工時")</f>
        <v>15000</v>
      </c>
      <c r="F15" s="9">
        <f>IF(COUNT('情境輸入'!F15:G15,'情境輸入'!J15,E15)=4,SUM('情境輸入'!F15:G15,'情境輸入'!J15,E15),"待填成本")</f>
        <v>145000</v>
      </c>
      <c r="G15" s="9">
        <f>IF(COUNT('情境輸入'!K15)=1,'情境輸入'!K15,"待填對方成本")</f>
        <v>80000</v>
      </c>
      <c r="H15" s="9">
        <f>IF(COUNT(D15,F15,G15)=3,SUM(D15,F15,G15),"待填分項")</f>
        <v>725000</v>
      </c>
      <c r="I15" s="9" t="str">
        <f>IF(COUNT('情境輸入'!M15)=1,'情境輸入'!M15,"待確認")</f>
        <v>待確認</v>
      </c>
      <c r="J15" s="9" t="str">
        <f>IF(COUNT(H15,I15)=2,IF(I15&lt;=H15,H15-I15,"保險額超總支出"),"待確認保險")</f>
        <v>待確認保險</v>
      </c>
    </row>
    <row r="16" ht="34" customHeight="1">
      <c r="A16" s="7" t="inlineStr">
        <is>
          <t>D</t>
        </is>
      </c>
      <c r="B16" s="7" t="inlineStr">
        <is>
          <t>高</t>
        </is>
      </c>
      <c r="C16" s="10" t="str">
        <f>'情境輸入'!C16</f>
        <v>區院</v>
      </c>
      <c r="D16" s="10">
        <f>IF(COUNT('情境輸入'!D16:E16)=2,SUM('情境輸入'!D16:E16),"待填損失")</f>
        <v>850000</v>
      </c>
      <c r="E16" s="10">
        <f>IF(COUNT('情境輸入'!H16:I16)=2,'情境輸入'!H16*'情境輸入'!I16,"待填工時")</f>
        <v>30000</v>
      </c>
      <c r="F16" s="10">
        <f>IF(COUNT('情境輸入'!F16:G16,'情境輸入'!J16,E16)=4,SUM('情境輸入'!F16:G16,'情境輸入'!J16,E16),"待填成本")</f>
        <v>355000</v>
      </c>
      <c r="G16" s="10">
        <f>IF(COUNT('情境輸入'!K16)=1,'情境輸入'!K16,"待填對方成本")</f>
        <v>200000</v>
      </c>
      <c r="H16" s="10">
        <f>IF(COUNT(D16,F16,G16)=3,SUM(D16,F16,G16),"待填分項")</f>
        <v>1405000</v>
      </c>
      <c r="I16" s="10" t="str">
        <f>IF(COUNT('情境輸入'!M16)=1,'情境輸入'!M16,"待確認")</f>
        <v>待確認</v>
      </c>
      <c r="J16" s="10" t="str">
        <f>IF(COUNT(H16,I16)=2,IF(I16&lt;=H16,H16-I16,"保險額超總支出"),"待確認保險")</f>
        <v>待確認保險</v>
      </c>
    </row>
    <row r="19" ht="42" customHeight="1">
      <c r="A19" s="4" t="inlineStr">
        <is>
          <t>A：零人傷及其他付款假設；B：短暫完全康復；C：持續色差／疤痕；D：嚴重後果。</t>
        </is>
      </c>
    </row>
    <row r="20" ht="42" customHeight="1">
      <c r="A20" s="7" t="inlineStr">
        <is>
          <t>上述成本不包括未填的其他業務成本、利息、上訴及執行。資料增加後另計，不能當最高上限。</t>
        </is>
      </c>
    </row>
  </sheetData>
  <autoFilter ref="A4:J16"/>
  <mergeCells count="4">
    <mergeCell ref="A1:J1"/>
    <mergeCell ref="A20:J20"/>
    <mergeCell ref="A19:J19"/>
    <mergeCell ref="A2:J2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 ht="34" customHeight="1">
      <c r="A1" s="1" t="inlineStr">
        <is>
          <t>處理方案及臨界機率</t>
        </is>
      </c>
    </row>
    <row r="2" ht="38" customHeight="1">
      <c r="A2" s="2" t="inlineStr">
        <is>
          <t>未知輸入不代入0；敏感度示例只作算術比較。所有付款、要約及對外行動仍需公司批准。</t>
        </is>
      </c>
    </row>
    <row r="4" ht="32" customHeight="1">
      <c r="A4" s="3" t="inlineStr">
        <is>
          <t>方案</t>
        </is>
      </c>
      <c r="B4" s="3" t="inlineStr">
        <is>
          <t>低</t>
        </is>
      </c>
      <c r="C4" s="3" t="inlineStr">
        <is>
          <t>中</t>
        </is>
      </c>
      <c r="D4" s="3" t="inlineStr">
        <is>
          <t>高</t>
        </is>
      </c>
      <c r="E4" s="3" t="inlineStr">
        <is>
          <t>限制／處理方式</t>
        </is>
      </c>
    </row>
    <row r="5" ht="40" customHeight="1">
      <c r="A5" s="4" t="inlineStr">
        <is>
          <t>25,000結案</t>
        </is>
      </c>
      <c r="B5" s="9">
        <f>IF(COUNT('情境輸入'!B20,'情境輸入'!B21)=2,'情境輸入'!B20+'情境輸入'!B21,"待填")</f>
        <v>27000</v>
      </c>
      <c r="C5" s="9">
        <f>IF(COUNT('情境輸入'!B20,'情境輸入'!B22)=2,'情境輸入'!B20+'情境輸入'!B22,"待填")</f>
        <v>32000</v>
      </c>
      <c r="D5" s="9">
        <f>IF(COUNT('情境輸入'!B20,'情境輸入'!B23)=2,'情境輸入'!B20+'情境輸入'!B23,"待填")</f>
        <v>40000</v>
      </c>
      <c r="E5" s="4" t="inlineStr">
        <is>
          <t>包括假設結案費，未含未確認保險；需適當有效解除。</t>
        </is>
      </c>
    </row>
    <row r="6" ht="40" customHeight="1">
      <c r="A6" s="7" t="inlineStr">
        <is>
          <t>短期調查</t>
        </is>
      </c>
      <c r="B6" s="10">
        <f>'情境輸入'!B31</f>
        <v>7000</v>
      </c>
      <c r="C6" s="10">
        <f>'情境輸入'!B32</f>
        <v>15000</v>
      </c>
      <c r="D6" s="10">
        <f>'情境輸入'!B33</f>
        <v>30000</v>
      </c>
      <c r="E6" s="7" t="inlineStr">
        <is>
          <t>另加其後結案或訴訟增量成本；不要與自方成本重複。</t>
        </is>
      </c>
    </row>
    <row r="7" ht="40" customHeight="1">
      <c r="A7" s="4" t="inlineStr">
        <is>
          <t>醫療預付款及處理</t>
        </is>
      </c>
      <c r="B7" s="9" t="str">
        <f>IF(COUNT('情境輸入'!B30,'情境輸入'!B34)=2,'情境輸入'!B30+'情境輸入'!B34,"待填核實醫療")</f>
        <v>待填核實醫療</v>
      </c>
      <c r="C7" s="9" t="str">
        <f>IF(COUNT('情境輸入'!B30,'情境輸入'!B35)=2,'情境輸入'!B30+'情境輸入'!B35,"待填核實醫療")</f>
        <v>待填核實醫療</v>
      </c>
      <c r="D7" s="9" t="str">
        <f>IF(COUNT('情境輸入'!B30,'情境輸入'!B36)=2,'情境輸入'!B30+'情境輸入'!B36,"待填核實醫療")</f>
        <v>待填核實醫療</v>
      </c>
      <c r="E7" s="4" t="inlineStr">
        <is>
          <t>未解除的申索仍可能產生成本；核實金額留空。</t>
        </is>
      </c>
    </row>
    <row r="8" ht="40" customHeight="1">
      <c r="A8" s="7" t="inlineStr">
        <is>
          <t>和解公司淨支出</t>
        </is>
      </c>
      <c r="B8" s="10" t="str">
        <f>IF(COUNT(B5,'情境輸入'!B27)=2,IF('情境輸入'!B27&lt;=B5,B5-'情境輸入'!B27,"保險額超總支出"),"待確認保險")</f>
        <v>待確認保險</v>
      </c>
      <c r="C8" s="10" t="str">
        <f>IF(COUNT(C5,'情境輸入'!B28)=2,IF('情境輸入'!B28&lt;=C5,C5-'情境輸入'!B28,"保險額超總支出"),"待確認保險")</f>
        <v>待確認保險</v>
      </c>
      <c r="D8" s="10" t="str">
        <f>IF(COUNT(D5,'情境輸入'!B29)=2,IF('情境輸入'!B29&lt;=D5,D5-'情境輸入'!B29,"保險額超總支出"),"待確認保險")</f>
        <v>待確認保險</v>
      </c>
      <c r="E8" s="7" t="inlineStr">
        <is>
          <t>各和解分支扣已確認保險貢獻；不明時保持待確認。</t>
        </is>
      </c>
    </row>
    <row r="9" ht="42" customHeight="1">
      <c r="A9" s="4" t="inlineStr">
        <is>
          <t>進入訴訟後期望成本</t>
        </is>
      </c>
      <c r="B9" s="9" t="str">
        <f>IF(COUNT('情境輸入'!B24,'情境輸入'!B26,'情境輸入'!B38:B40)=5,'情境輸入'!B38+'情境輸入'!B24*('情境輸入'!B39+'情境輸入'!B40)-(1-'情境輸入'!B24)*'情境輸入'!B26,"待填p/F/D/A/R")</f>
        <v>待填p/F/D/A/R</v>
      </c>
      <c r="C9" s="4" t="n"/>
      <c r="D9" s="4" t="n"/>
      <c r="E9" s="4" t="inlineStr">
        <is>
          <t>F+p×(D+A)−(1−p)×R，保險前，與情境表分開。</t>
        </is>
      </c>
    </row>
    <row r="10" ht="42" customHeight="1">
      <c r="A10" s="7" t="inlineStr">
        <is>
          <t>拒絕方案期望成本</t>
        </is>
      </c>
      <c r="B10" s="10" t="str">
        <f>IF(COUNT('情境輸入'!B25,'情境輸入'!B37,B9)=3,'情境輸入'!B37+'情境輸入'!B25*B9,"待填q/F0/訴訟額")</f>
        <v>待填q/F0/訴訟額</v>
      </c>
      <c r="C10" s="7" t="n"/>
      <c r="D10" s="7" t="n"/>
      <c r="E10" s="7" t="inlineStr">
        <is>
          <t>F0+q×訴訟期望額；q未填不計。</t>
        </is>
      </c>
    </row>
    <row r="11" ht="40" customHeight="1">
      <c r="A11" s="4" t="inlineStr">
        <is>
          <t>其他業務成本</t>
        </is>
      </c>
      <c r="B11" s="9" t="str">
        <f>IF(COUNT('情境輸入'!B41)=1,'情境輸入'!B41,"待核實")</f>
        <v>待核實</v>
      </c>
      <c r="C11" s="4" t="n"/>
      <c r="D11" s="4" t="n"/>
      <c r="E11" s="4" t="inlineStr">
        <is>
          <t>額外一項，只有已核實且未重複計入的成本才填。</t>
        </is>
      </c>
    </row>
    <row r="12" ht="52" customHeight="1">
      <c r="A12" s="7" t="inlineStr">
        <is>
          <t>與中位結案比較的臨界p</t>
        </is>
      </c>
      <c r="B12" s="11" t="str">
        <f>IF(COUNT(C5,'情境輸入'!B26,'情境輸入'!B38:B40)=5,IF(SUM('情境輸入'!B39:B40,'情境輸入'!B26)&gt;0,(C5-'情境輸入'!B38+'情境輸入'!B26)/SUM('情境輸入'!B39:B40,'情境輸入'!B26),"無可用分母"),"待填F/D/A/R")</f>
        <v>待填F/D/A/R</v>
      </c>
      <c r="C12" s="7" t="n"/>
      <c r="D12" s="7" t="n"/>
      <c r="E12" s="7" t="inlineStr">
        <is>
          <t>(S−F+R)/(D+A+R)。小於0：假設下和解較便宜；大於1：抗辯較便宜。</t>
        </is>
      </c>
    </row>
    <row r="15" ht="32" customHeight="1">
      <c r="A15" s="3" t="inlineStr">
        <is>
          <t>算術示例</t>
        </is>
      </c>
      <c r="B15" s="3" t="inlineStr">
        <is>
          <t>S結案總額</t>
        </is>
      </c>
      <c r="C15" s="3" t="inlineStr">
        <is>
          <t>F自方成本</t>
        </is>
      </c>
      <c r="D15" s="3" t="inlineStr">
        <is>
          <t>D賠償</t>
        </is>
      </c>
      <c r="E15" s="3" t="inlineStr">
        <is>
          <t>A對方成本；R=0</t>
        </is>
      </c>
    </row>
    <row r="16" ht="36" customHeight="1">
      <c r="A16" s="7" t="inlineStr">
        <is>
          <t>小額成本5,000</t>
        </is>
      </c>
      <c r="B16" s="10" t="n">
        <v>27000</v>
      </c>
      <c r="C16" s="10" t="n">
        <v>5000</v>
      </c>
      <c r="D16" s="10" t="n">
        <v>25000</v>
      </c>
      <c r="E16" s="10" t="n">
        <v>0</v>
      </c>
    </row>
    <row r="17" ht="36" customHeight="1">
      <c r="A17" s="4" t="inlineStr">
        <is>
          <t>小額成本15,000</t>
        </is>
      </c>
      <c r="B17" s="9" t="n">
        <v>27000</v>
      </c>
      <c r="C17" s="9" t="n">
        <v>15000</v>
      </c>
      <c r="D17" s="9" t="n">
        <v>25000</v>
      </c>
      <c r="E17" s="9" t="n">
        <v>0</v>
      </c>
    </row>
    <row r="18" ht="36" customHeight="1">
      <c r="A18" s="7" t="inlineStr">
        <is>
          <t>區院成本40,000</t>
        </is>
      </c>
      <c r="B18" s="10" t="n">
        <v>32000</v>
      </c>
      <c r="C18" s="10" t="n">
        <v>40000</v>
      </c>
      <c r="D18" s="10" t="n">
        <v>100000</v>
      </c>
      <c r="E18" s="10" t="n">
        <v>40000</v>
      </c>
    </row>
    <row r="20" ht="36" customHeight="1">
      <c r="A20" s="7" t="inlineStr">
        <is>
          <t>小額低成本臨界p</t>
        </is>
      </c>
      <c r="B20" s="11">
        <f>IF(SUM(D16:E16)&gt;0,(B16-C16)/SUM(D16:E16),"無可用分母")</f>
        <v>0.88</v>
      </c>
      <c r="C20" s="7" t="n"/>
      <c r="D20" s="7" t="n"/>
      <c r="E20" s="7" t="inlineStr">
        <is>
          <t>示例不代表本案敗訴機率。</t>
        </is>
      </c>
    </row>
    <row r="21" ht="36" customHeight="1">
      <c r="A21" s="4" t="inlineStr">
        <is>
          <t>小額較高成本臨界p</t>
        </is>
      </c>
      <c r="B21" s="12">
        <f>IF(SUM(D17:E17)&gt;0,(B17-C17)/SUM(D17:E17),"無可用分母")</f>
        <v>0.48</v>
      </c>
      <c r="C21" s="4" t="n"/>
      <c r="D21" s="4" t="n"/>
      <c r="E21" s="4" t="inlineStr">
        <is>
          <t>示例不代表本案敗訴機率。</t>
        </is>
      </c>
    </row>
    <row r="22" ht="42" customHeight="1">
      <c r="A22" s="7" t="inlineStr">
        <is>
          <t>區院分支臨界p</t>
        </is>
      </c>
      <c r="B22" s="11">
        <f>IF(SUM(D18:E18)&gt;0,(B18-C18)/SUM(D18:E18),"無可用分母")</f>
        <v>-0.05714285714285714</v>
      </c>
      <c r="C22" s="7" t="n"/>
      <c r="D22" s="7" t="n"/>
      <c r="E22" s="7" t="inlineStr">
        <is>
          <t>負數表示在這組假設下，即使勝訴成本也較高。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7" customWidth="1" min="2" max="2"/>
    <col width="16" customWidth="1" min="3" max="3"/>
    <col width="18" customWidth="1" min="4" max="4"/>
    <col width="45" customWidth="1" min="5" max="5"/>
    <col width="67" customWidth="1" min="6" max="6"/>
  </cols>
  <sheetData>
    <row r="1" ht="34" customHeight="1">
      <c r="A1" s="1" t="inlineStr">
        <is>
          <t>香港判例金額</t>
        </is>
      </c>
    </row>
    <row r="2" ht="38" customHeight="1">
      <c r="A2" s="2" t="inlineStr">
        <is>
          <t>當年港幣；實際判賠、替代評估、私人和解及訟費分開。沒有作2026通脹更新。</t>
        </is>
      </c>
    </row>
    <row r="4" ht="32" customHeight="1">
      <c r="A4" s="3" t="inlineStr">
        <is>
          <t>案件／日期</t>
        </is>
      </c>
      <c r="B4" s="3" t="inlineStr">
        <is>
          <t>實際PSLA</t>
        </is>
      </c>
      <c r="C4" s="3" t="inlineStr">
        <is>
          <t>實際損害總額</t>
        </is>
      </c>
      <c r="D4" s="3" t="inlineStr">
        <is>
          <t>性質</t>
        </is>
      </c>
      <c r="E4" s="3" t="inlineStr">
        <is>
          <t>來源限制</t>
        </is>
      </c>
      <c r="F4" s="3" t="inlineStr">
        <is>
          <t>判詞來源</t>
        </is>
      </c>
    </row>
    <row r="5" ht="58" customHeight="1">
      <c r="A5" s="4" t="inlineStr">
        <is>
          <t>Leung Ka Yee 2003-10-22</t>
        </is>
      </c>
      <c r="B5" s="9" t="n">
        <v>75000</v>
      </c>
      <c r="C5" s="9" t="n">
        <v>78880</v>
      </c>
      <c r="D5" s="4" t="inlineStr">
        <is>
          <t>法院評估</t>
        </is>
      </c>
      <c r="E5" s="4" t="inlineStr">
        <is>
          <t>IPL背部，持續色素疤痕，欠交答辯。</t>
        </is>
      </c>
      <c r="F5" s="4" t="inlineStr">
        <is>
          <t>https://babelcite.com/case/35934</t>
        </is>
      </c>
    </row>
    <row r="6" ht="58" customHeight="1">
      <c r="A6" s="7" t="inlineStr">
        <is>
          <t>Shabbina Khokhar 2008-01-04</t>
        </is>
      </c>
      <c r="B6" s="10" t="n">
        <v>120000</v>
      </c>
      <c r="C6" s="10" t="n">
        <v>160310</v>
      </c>
      <c r="D6" s="7" t="inlineStr">
        <is>
          <t>法院評估</t>
        </is>
      </c>
      <c r="E6" s="7" t="inlineStr">
        <is>
          <t>IPL雙臂及永久疤痕，婚禮影響；250,000是要求額。</t>
        </is>
      </c>
      <c r="F6" s="7" t="inlineStr">
        <is>
          <t>https://babelcite.com/case/59829</t>
        </is>
      </c>
    </row>
    <row r="7" ht="58" customHeight="1">
      <c r="A7" s="4" t="inlineStr">
        <is>
          <t>Chan Wai Yee Emily 2010-09-30</t>
        </is>
      </c>
      <c r="B7" s="9" t="n">
        <v>150000</v>
      </c>
      <c r="C7" s="9" t="n">
        <v>178350</v>
      </c>
      <c r="D7" s="4" t="inlineStr">
        <is>
          <t>法院評估</t>
        </is>
      </c>
      <c r="E7" s="4" t="inlineStr">
        <is>
          <t>腿部永久疤痕，責任承認。</t>
        </is>
      </c>
      <c r="F7" s="4" t="inlineStr">
        <is>
          <t>https://babelcite.com/case/73182</t>
        </is>
      </c>
    </row>
    <row r="8" ht="58" customHeight="1">
      <c r="A8" s="7" t="inlineStr">
        <is>
          <t>Chan Sze Ki 2011-01-07</t>
        </is>
      </c>
      <c r="B8" s="10" t="n">
        <v>80000</v>
      </c>
      <c r="C8" s="13" t="n">
        <v>97519.64999999999</v>
      </c>
      <c r="D8" s="7" t="inlineStr">
        <is>
          <t>法院評估</t>
        </is>
      </c>
      <c r="E8" s="7" t="inlineStr">
        <is>
          <t>前臂IPL、殘留色差，醫療500並非總賠償。</t>
        </is>
      </c>
      <c r="F8" s="7" t="inlineStr">
        <is>
          <t>https://babelcite.com/case/74738</t>
        </is>
      </c>
    </row>
    <row r="9" ht="58" customHeight="1">
      <c r="A9" s="4" t="inlineStr">
        <is>
          <t>Xie Qiuyun 2015-12-18</t>
        </is>
      </c>
      <c r="B9" s="9" t="n">
        <v>0</v>
      </c>
      <c r="C9" s="9" t="n">
        <v>0</v>
      </c>
      <c r="D9" s="4" t="inlineStr">
        <is>
          <t>原告敗訴</t>
        </is>
      </c>
      <c r="E9" s="4" t="inlineStr">
        <is>
          <t>50,000 PSLA及78,000總額僅替代評估，非應付判賠。</t>
        </is>
      </c>
      <c r="F9" s="4" t="inlineStr">
        <is>
          <t>https://babelcite.com/case/101901</t>
        </is>
      </c>
    </row>
    <row r="10" ht="58" customHeight="1">
      <c r="A10" s="7" t="inlineStr">
        <is>
          <t>Luo Yurong 2021-06-28</t>
        </is>
      </c>
      <c r="B10" s="10" t="n">
        <v>200000</v>
      </c>
      <c r="C10" s="10" t="n">
        <v>296045</v>
      </c>
      <c r="D10" s="7" t="inlineStr">
        <is>
          <t>法院評估</t>
        </is>
      </c>
      <c r="E10" s="7" t="inlineStr">
        <is>
          <t>額部注射壞死永久疤痕，非激光。</t>
        </is>
      </c>
      <c r="F10" s="7" t="inlineStr">
        <is>
          <t>https://babelcite.com/case/136803</t>
        </is>
      </c>
    </row>
    <row r="11" ht="58" customHeight="1">
      <c r="A11" s="4" t="inlineStr">
        <is>
          <t>Leung Yuk Kwan 2002-12-04</t>
        </is>
      </c>
      <c r="B11" s="9" t="n">
        <v>300000</v>
      </c>
      <c r="C11" s="14" t="n">
        <v>847949.75</v>
      </c>
      <c r="D11" s="4" t="inlineStr">
        <is>
          <t>法院評估</t>
        </is>
      </c>
      <c r="E11" s="4" t="inlineStr">
        <is>
          <t>電熱灼傷、精神科及收入損失，非短暫小傷。</t>
        </is>
      </c>
      <c r="F11" s="4" t="inlineStr">
        <is>
          <t>https://babelcite.com/case/25657</t>
        </is>
      </c>
    </row>
    <row r="12" ht="58" customHeight="1">
      <c r="A12" s="7" t="inlineStr">
        <is>
          <t>Kwan Kam Ping 2026-01-22</t>
        </is>
      </c>
      <c r="B12" s="10" t="n">
        <v>0</v>
      </c>
      <c r="C12" s="10" t="n">
        <v>0</v>
      </c>
      <c r="D12" s="7" t="inlineStr">
        <is>
          <t>原告敗訴</t>
        </is>
      </c>
      <c r="E12" s="7" t="inlineStr">
        <is>
          <t>10,000及10,380僅替代評估；2026-10-05後續見報告。</t>
        </is>
      </c>
      <c r="F12" s="7" t="inlineStr">
        <is>
          <t>https://babelcite.com/case/176578</t>
        </is>
      </c>
    </row>
    <row r="13" ht="58" customHeight="1">
      <c r="A13" s="4" t="inlineStr">
        <is>
          <t>Ko Fung 2012-06-12</t>
        </is>
      </c>
      <c r="B13" s="4" t="n"/>
      <c r="C13" s="4" t="n"/>
      <c r="D13" s="4" t="inlineStr">
        <is>
          <t>客戶和解255,000</t>
        </is>
      </c>
      <c r="E13" s="4" t="inlineStr">
        <is>
          <t>客戶訟費120,000另計，供應商追償445,000不能當人傷判賠。</t>
        </is>
      </c>
      <c r="F13" s="4" t="inlineStr">
        <is>
          <t>https://babelcite.com/case/82153</t>
        </is>
      </c>
    </row>
    <row r="16" ht="48" customHeight="1">
      <c r="A16" s="7" t="inlineStr">
        <is>
          <t>成本、工時、機率及保險</t>
        </is>
      </c>
      <c r="B16" s="7" t="inlineStr">
        <is>
          <t>均為假設／待填</t>
        </is>
      </c>
      <c r="C16" s="7" t="n"/>
      <c r="D16" s="7" t="n"/>
      <c r="E16" s="7" t="inlineStr">
        <is>
          <t>詳細定義見本套財務報告，沒有取得2026律師報價。</t>
        </is>
      </c>
      <c r="F16" s="7" t="inlineStr"/>
    </row>
    <row r="17" ht="48" customHeight="1">
      <c r="A17" s="4" t="inlineStr">
        <is>
          <t>小額管轄</t>
        </is>
      </c>
      <c r="B17" s="4" t="n"/>
      <c r="C17" s="4" t="n"/>
      <c r="D17" s="4" t="n"/>
      <c r="E17" s="4" t="inlineStr">
        <is>
          <t>Cap.338第5條及附表涵蓋限額內侵權金錢申索；不一般排除人傷。</t>
        </is>
      </c>
      <c r="F17" s="4" t="inlineStr">
        <is>
          <t>https://www.elegislation.gov.hk/hk/cap338!en</t>
        </is>
      </c>
    </row>
    <row r="18" ht="48" customHeight="1">
      <c r="A18" s="7" t="inlineStr">
        <is>
          <t>小額程序</t>
        </is>
      </c>
      <c r="B18" s="7" t="n"/>
      <c r="C18" s="7" t="n"/>
      <c r="D18" s="7" t="n"/>
      <c r="E18" s="7" t="inlineStr">
        <is>
          <t>一般聆訊不得律師代表，成本與區院不同。</t>
        </is>
      </c>
      <c r="F18" s="7" t="inlineStr">
        <is>
          <t>https://www.judiciary.hk/en/court_services_facilities/sc.html</t>
        </is>
      </c>
    </row>
  </sheetData>
  <autoFilter ref="A4:F13"/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2026-10-11T15:27:37Z</dcterms:created>
  <dcterms:modified xmlns:dcterms="http://purl.org/dc/terms/" xmlns:xsi="http://www.w3.org/2001/XMLSchema-instance" xsi:type="dcterms:W3CDTF">2026-10-11T15:27:37Z</dcterms:modified>
</cp:coreProperties>
</file>